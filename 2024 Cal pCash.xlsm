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05" codeName="{3D1A710C-6663-3D7B-7F91-EC182F24A4BC}"/>
  <workbookPr filterPrivacy="1" codeName="ThisWorkbook" defaultThemeVersion="124226"/>
  <xr:revisionPtr revIDLastSave="0" documentId="13_ncr:1_{67069A7A-DA0B-45BA-9F15-96384A9233CD}" xr6:coauthVersionLast="36" xr6:coauthVersionMax="36" xr10:uidLastSave="{00000000-0000-0000-0000-000000000000}"/>
  <bookViews>
    <workbookView xWindow="240" yWindow="105" windowWidth="12120" windowHeight="8010" xr2:uid="{00000000-000D-0000-FFFF-FFFF00000000}"/>
  </bookViews>
  <sheets>
    <sheet name="pCash" sheetId="100" r:id="rId1"/>
    <sheet name="Sheet1" sheetId="101" r:id="rId2"/>
  </sheets>
  <functionGroups builtInGroupCount="19"/>
  <calcPr calcId="191029"/>
</workbook>
</file>

<file path=xl/calcChain.xml><?xml version="1.0" encoding="utf-8"?>
<calcChain xmlns="http://schemas.openxmlformats.org/spreadsheetml/2006/main">
  <c r="C11" i="100" l="1"/>
  <c r="B4" i="100" l="1"/>
  <c r="A13" i="100"/>
  <c r="A11" i="100"/>
  <c r="A12" i="100"/>
  <c r="D11" i="100" l="1"/>
  <c r="D12" i="100"/>
  <c r="D13" i="100"/>
</calcChain>
</file>

<file path=xl/sharedStrings.xml><?xml version="1.0" encoding="utf-8"?>
<sst xmlns="http://schemas.openxmlformats.org/spreadsheetml/2006/main" count="15" uniqueCount="15">
  <si>
    <t>Daily Transaction Report:</t>
  </si>
  <si>
    <t>Date:</t>
  </si>
  <si>
    <t>Scrap Cash:</t>
  </si>
  <si>
    <t>with the statement signed by the Depot In-charge.</t>
  </si>
  <si>
    <t>and denomination wise depot auto bank deposit slip.</t>
  </si>
  <si>
    <t>→►</t>
  </si>
  <si>
    <t>Paste Value
Here</t>
  </si>
  <si>
    <t>Petty Cash:</t>
  </si>
  <si>
    <t>Sales Collection:</t>
  </si>
  <si>
    <t>Voucher amount</t>
  </si>
  <si>
    <t>. Reconciliation statement of petty cash balance is found agreed amount from previous audit date to current audit date. Details are shown in “Annexure-01”.</t>
  </si>
  <si>
    <t>and suspense has been paid by Tk.5,000.00 for fuel purpose without posting.</t>
  </si>
  <si>
    <t>We have physically verified the net petty cash balance as on 26.12.23 at about 8:30 AM before opening the day’s transaction and found cash amount of Tk.11,11,111.00 (Taka Eleven Lac Eleven Thousand One Hundred Eleven Only) and voucher amount of Tk.89,999.00. Reconciliation statement of petty cash balance is found agreed amount from previous audit date to current audit date. Details are shown in “Annexure-01”.</t>
  </si>
  <si>
    <t>In addition, we have found cash amount of Tk.1,11,111.00 (Taka One Lac Eleven Thousand One Hundred Eleven Only) kept separately in the vault; which represents market collection of previous day and found agreed amount with Depot Daily Collection Report and denomination wise depot auto bank deposit slip.</t>
  </si>
  <si>
    <t>Apart from that, we have also found Tk.1,111.00 (Taka One Thousand One Hundred Eleven Only) kept in the vault against scrap sale. It is to be noted that, a separate register has been maintained for scrap sale purpose which was also found agreed amount with the statement signed by the Depot In-charge.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</si>
</sst>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7" x14ac:knownFonts="1">
    <font>
      <sz val="11"/>
      <color theme="1"/>
      <name val="Calibri"/>
      <family val="2"/>
      <scheme val="minor"/>
    </font>
    <font>
      <sz val="10"/>
      <color theme="1"/>
      <name val="Arial"/>
      <family val="2"/>
    </font>
    <font>
      <sz val="10"/>
      <color theme="1"/>
      <name val="Arial"/>
      <family val="2"/>
    </font>
    <font>
      <sz val="10"/>
      <name val="Arial"/>
      <family val="2"/>
    </font>
    <font>
      <sz val="11"/>
      <color theme="1"/>
      <name val="Calibri"/>
      <family val="2"/>
      <scheme val="minor"/>
    </font>
    <font>
      <b/>
      <sz val="10"/>
      <color theme="1"/>
      <name val="Arial"/>
      <family val="2"/>
    </font>
    <font>
      <b/>
      <sz val="10"/>
      <color rgb="FFFF0000"/>
      <name val="Arial"/>
      <family val="2"/>
    </font>
  </fonts>
  <fills count="3">
    <fill>
      <patternFill patternType="none"/>
    </fill>
    <fill>
      <patternFill patternType="gray125"/>
    </fill>
    <fill>
      <patternFill patternType="solid">
        <fgColor rgb="FFCCFD8B"/>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4">
    <xf numFmtId="0" fontId="0" fillId="0" borderId="0"/>
    <xf numFmtId="0" fontId="3" fillId="0" borderId="0"/>
    <xf numFmtId="164" fontId="3" fillId="0" borderId="0" applyFont="0" applyFill="0" applyBorder="0" applyAlignment="0" applyProtection="0"/>
    <xf numFmtId="164" fontId="4" fillId="0" borderId="0" applyFont="0" applyFill="0" applyBorder="0" applyAlignment="0" applyProtection="0"/>
  </cellStyleXfs>
  <cellXfs count="20">
    <xf numFmtId="0" fontId="0" fillId="0" borderId="0" xfId="0"/>
    <xf numFmtId="165" fontId="5" fillId="0" borderId="0" xfId="3" applyNumberFormat="1" applyFont="1" applyAlignment="1" applyProtection="1">
      <alignment vertical="center"/>
    </xf>
    <xf numFmtId="165" fontId="5" fillId="0" borderId="1" xfId="3" applyNumberFormat="1" applyFont="1" applyBorder="1" applyAlignment="1" applyProtection="1">
      <alignment horizontal="right" vertical="center"/>
    </xf>
    <xf numFmtId="165" fontId="5" fillId="2" borderId="1" xfId="3" applyNumberFormat="1" applyFont="1" applyFill="1" applyBorder="1" applyAlignment="1" applyProtection="1">
      <alignment vertical="center"/>
      <protection locked="0"/>
    </xf>
    <xf numFmtId="164" fontId="2" fillId="0" borderId="0" xfId="3" applyFont="1" applyAlignment="1" applyProtection="1">
      <alignment vertical="center"/>
    </xf>
    <xf numFmtId="14" fontId="5" fillId="0" borderId="0" xfId="0" applyNumberFormat="1" applyFont="1" applyFill="1" applyBorder="1" applyProtection="1">
      <protection locked="0"/>
    </xf>
    <xf numFmtId="165" fontId="5" fillId="0" borderId="0" xfId="3" applyNumberFormat="1" applyFont="1" applyFill="1" applyBorder="1" applyAlignment="1" applyProtection="1">
      <alignment vertical="center"/>
      <protection locked="0"/>
    </xf>
    <xf numFmtId="0" fontId="2" fillId="0" borderId="0" xfId="0" applyFont="1" applyProtection="1">
      <protection hidden="1"/>
    </xf>
    <xf numFmtId="0" fontId="2" fillId="0" borderId="0" xfId="0" applyFont="1" applyProtection="1"/>
    <xf numFmtId="164" fontId="2" fillId="0" borderId="0" xfId="3" applyFont="1" applyFill="1" applyAlignment="1" applyProtection="1">
      <alignment vertical="center"/>
    </xf>
    <xf numFmtId="164" fontId="2" fillId="0" borderId="0" xfId="3" quotePrefix="1" applyFont="1" applyAlignment="1" applyProtection="1">
      <alignment vertical="center" wrapText="1"/>
      <protection hidden="1"/>
    </xf>
    <xf numFmtId="0" fontId="2" fillId="2" borderId="1" xfId="0" applyFont="1" applyFill="1" applyBorder="1" applyProtection="1">
      <protection hidden="1"/>
    </xf>
    <xf numFmtId="0" fontId="2" fillId="0" borderId="0" xfId="0" applyFont="1" applyAlignment="1" applyProtection="1">
      <alignment horizontal="center"/>
    </xf>
    <xf numFmtId="165" fontId="6" fillId="2" borderId="1" xfId="3" applyNumberFormat="1" applyFont="1" applyFill="1" applyBorder="1" applyAlignment="1" applyProtection="1">
      <alignment vertical="center"/>
      <protection locked="0"/>
    </xf>
    <xf numFmtId="0" fontId="2" fillId="0" borderId="1" xfId="0" applyFont="1" applyFill="1" applyBorder="1" applyAlignment="1" applyProtection="1">
      <alignment vertical="center" wrapText="1"/>
      <protection locked="0"/>
    </xf>
    <xf numFmtId="0" fontId="1" fillId="0" borderId="1" xfId="0" applyFont="1" applyFill="1" applyBorder="1" applyAlignment="1" applyProtection="1">
      <alignment vertical="center" wrapText="1"/>
      <protection locked="0"/>
    </xf>
    <xf numFmtId="165" fontId="5" fillId="0" borderId="0" xfId="3" applyNumberFormat="1" applyFont="1" applyAlignment="1" applyProtection="1">
      <alignment horizontal="center" vertical="center"/>
    </xf>
    <xf numFmtId="14" fontId="2" fillId="0" borderId="0" xfId="3" applyNumberFormat="1" applyFont="1" applyAlignment="1" applyProtection="1">
      <alignment horizontal="right" vertical="center"/>
      <protection hidden="1"/>
    </xf>
    <xf numFmtId="0" fontId="5" fillId="0" borderId="2" xfId="0" applyFont="1" applyBorder="1" applyAlignment="1" applyProtection="1">
      <alignment horizontal="center" vertical="center" wrapText="1"/>
    </xf>
    <xf numFmtId="0" fontId="2" fillId="0" borderId="3" xfId="0" applyFont="1" applyBorder="1" applyAlignment="1" applyProtection="1">
      <alignment horizontal="center" vertical="center"/>
    </xf>
  </cellXfs>
  <cellStyles count="4">
    <cellStyle name="Comma" xfId="3" builtinId="3"/>
    <cellStyle name="Comma 2" xfId="2" xr:uid="{00000000-0005-0000-0000-000000000000}"/>
    <cellStyle name="Normal" xfId="0" builtinId="0"/>
    <cellStyle name="Normal 2" xfId="1" xr:uid="{00000000-0005-0000-0000-000002000000}"/>
  </cellStyles>
  <dxfs count="0"/>
  <tableStyles count="0" defaultTableStyle="TableStyleMedium9" defaultPivotStyle="PivotStyleLight16"/>
  <colors>
    <mruColors>
      <color rgb="FFCCFD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501-B135-4DCD-B001-E108489499AA}">
  <dimension ref="A1:D18"/>
  <sheetViews>
    <sheetView tabSelected="1" zoomScale="130" zoomScaleNormal="130" workbookViewId="0">
      <selection activeCell="D7" sqref="D7"/>
    </sheetView>
  </sheetViews>
  <sheetFormatPr defaultRowHeight="12.75" x14ac:dyDescent="0.2"/>
  <cols>
    <col min="1" max="1" width="23.42578125" style="8" customWidth="1"/>
    <col min="2" max="2" width="15.85546875" style="8" customWidth="1"/>
    <col min="3" max="3" width="15.85546875" style="8" hidden="1" customWidth="1"/>
    <col min="4" max="4" width="98.42578125" style="8" customWidth="1"/>
    <col min="5" max="16384" width="9.140625" style="8"/>
  </cols>
  <sheetData>
    <row r="1" spans="1:4" x14ac:dyDescent="0.2">
      <c r="A1" s="8" t="s">
        <v>11</v>
      </c>
    </row>
    <row r="3" spans="1:4" x14ac:dyDescent="0.2">
      <c r="A3" s="1" t="s">
        <v>0</v>
      </c>
      <c r="B3" s="4"/>
      <c r="C3" s="9"/>
    </row>
    <row r="4" spans="1:4" x14ac:dyDescent="0.2">
      <c r="A4" s="16" t="s">
        <v>1</v>
      </c>
      <c r="B4" s="17">
        <f ca="1">TODAY()</f>
        <v>45286</v>
      </c>
      <c r="C4" s="5"/>
    </row>
    <row r="5" spans="1:4" x14ac:dyDescent="0.2">
      <c r="A5" s="2" t="s">
        <v>7</v>
      </c>
      <c r="B5" s="3">
        <v>1111111</v>
      </c>
      <c r="C5" s="6"/>
    </row>
    <row r="6" spans="1:4" x14ac:dyDescent="0.2">
      <c r="A6" s="2" t="s">
        <v>8</v>
      </c>
      <c r="B6" s="3">
        <v>111111</v>
      </c>
      <c r="C6" s="6"/>
    </row>
    <row r="7" spans="1:4" x14ac:dyDescent="0.2">
      <c r="A7" s="2" t="s">
        <v>2</v>
      </c>
      <c r="B7" s="3">
        <v>1111</v>
      </c>
      <c r="C7" s="6"/>
    </row>
    <row r="8" spans="1:4" x14ac:dyDescent="0.2">
      <c r="A8" s="2" t="s">
        <v>9</v>
      </c>
      <c r="B8" s="13">
        <v>89999</v>
      </c>
      <c r="C8" s="6"/>
    </row>
    <row r="9" spans="1:4" x14ac:dyDescent="0.2">
      <c r="A9" s="4"/>
      <c r="B9" s="4"/>
      <c r="C9" s="4"/>
    </row>
    <row r="10" spans="1:4" x14ac:dyDescent="0.2">
      <c r="A10" s="4"/>
    </row>
    <row r="11" spans="1:4" ht="18" customHeight="1" x14ac:dyDescent="0.2">
      <c r="A11" s="10" t="str">
        <f ca="1">"We have physically verified the net petty cash balance as on "&amp;TEXT(B4,"DD.MM.YY")&amp;" at about 8:30 AM before opening the day’s transaction and found cash amount of Tk."&amp;TEXT(B5,"##,##,##0.00")&amp;""&amp;" ("&amp;SPELLBDT(B5)&amp;")"</f>
        <v>We have physically verified the net petty cash balance as on 26.12.23 at about 8:30 AM before opening the day’s transaction and found cash amount of Tk.11,11,111.00 (Taka Eleven Lac Eleven Thousand One Hundred Eleven Only)</v>
      </c>
      <c r="B11" s="7" t="s">
        <v>10</v>
      </c>
      <c r="C11" s="7" t="str">
        <f>" and voucher amount of Tk."&amp;TEXT(B8,"##,##,##0.00")</f>
        <v xml:space="preserve"> and voucher amount of Tk.89,999.00</v>
      </c>
      <c r="D11" s="11" t="str">
        <f ca="1">IF(B8&gt;0,A11&amp;C11&amp;B11,A11&amp;B11)</f>
        <v>We have physically verified the net petty cash balance as on 26.12.23 at about 8:30 AM before opening the day’s transaction and found cash amount of Tk.11,11,111.00 (Taka Eleven Lac Eleven Thousand One Hundred Eleven Only) and voucher amount of Tk.89,999.00. Reconciliation statement of petty cash balance is found agreed amount from previous audit date to current audit date. Details are shown in “Annexure-01”.</v>
      </c>
    </row>
    <row r="12" spans="1:4" ht="18" customHeight="1" x14ac:dyDescent="0.2">
      <c r="A12" s="10" t="str">
        <f>"In addition, we have found cash amount of Tk."&amp;TEXT(B6,"##,##,##0.00")&amp;""&amp;" ("&amp;SPELLBDT(B6)&amp;")"&amp;" kept separately in the vault; which represents market collection of previous day and found agreed amount with Depot Daily Collection Report "</f>
        <v xml:space="preserve">In addition, we have found cash amount of Tk.1,11,111.00 (Taka One Lac Eleven Thousand One Hundred Eleven Only) kept separately in the vault; which represents market collection of previous day and found agreed amount with Depot Daily Collection Report </v>
      </c>
      <c r="B12" s="7" t="s">
        <v>4</v>
      </c>
      <c r="C12" s="7"/>
      <c r="D12" s="11" t="str">
        <f t="shared" ref="D12:D13" si="0">A12&amp;B12</f>
        <v>In addition, we have found cash amount of Tk.1,11,111.00 (Taka One Lac Eleven Thousand One Hundred Eleven Only) kept separately in the vault; which represents market collection of previous day and found agreed amount with Depot Daily Collection Report and denomination wise depot auto bank deposit slip.</v>
      </c>
    </row>
    <row r="13" spans="1:4" ht="18" customHeight="1" x14ac:dyDescent="0.2">
      <c r="A13" s="10" t="str">
        <f>"Apart from that, we have also found Tk."&amp;TEXT(B7,"##,##,##0.00")&amp;""&amp;" ("&amp;SPELLBDT(B7)&amp;")"&amp;" kept in the vault against scrap sale. It is to be noted that, a separate register has been maintained for scrap sale purpose which was also found agreed amount "</f>
        <v xml:space="preserve">Apart from that, we have also found Tk.1,111.00 (Taka One Thousand One Hundred Eleven Only) kept in the vault against scrap sale. It is to be noted that, a separate register has been maintained for scrap sale purpose which was also found agreed amount </v>
      </c>
      <c r="B13" s="7" t="s">
        <v>3</v>
      </c>
      <c r="C13" s="7"/>
      <c r="D13" s="11" t="str">
        <f t="shared" si="0"/>
        <v>Apart from that, we have also found Tk.1,111.00 (Taka One Thousand One Hundred Eleven Only) kept in the vault against scrap sale. It is to be noted that, a separate register has been maintained for scrap sale purpose which was also found agreed amount with the statement signed by the Depot In-charge.</v>
      </c>
    </row>
    <row r="14" spans="1:4" x14ac:dyDescent="0.2">
      <c r="A14" s="4"/>
    </row>
    <row r="16" spans="1:4" ht="62.25" customHeight="1" x14ac:dyDescent="0.2">
      <c r="A16" s="18" t="s">
        <v>6</v>
      </c>
      <c r="B16" s="19" t="s">
        <v>5</v>
      </c>
      <c r="D16" s="14" t="s">
        <v>12</v>
      </c>
    </row>
    <row r="17" spans="1:4" ht="38.25" x14ac:dyDescent="0.2">
      <c r="A17" s="18"/>
      <c r="B17" s="19"/>
      <c r="C17" s="12"/>
      <c r="D17" s="15" t="s">
        <v>13</v>
      </c>
    </row>
    <row r="18" spans="1:4" ht="38.25" x14ac:dyDescent="0.2">
      <c r="A18" s="18"/>
      <c r="B18" s="19"/>
      <c r="D18" s="14" t="s">
        <v>14</v>
      </c>
    </row>
  </sheetData>
  <sheetProtection algorithmName="SHA-512" hashValue="Bi2TEvC6qS+6rpoQh3X6hfqohdxGJQwYDztk9aPGzOhJ47561yAIXiSzWTHaD9gUhX0W/huX1CLlTDEWMLvTXg==" saltValue="X6jjc2tGZylQ1qPky7QHAw==" spinCount="100000" sheet="1" objects="1" scenarios="1"/>
  <mergeCells count="2">
    <mergeCell ref="A16:A18"/>
    <mergeCell ref="B16:B18"/>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256AC-8E75-4E23-8BF8-A0FA2055724F}">
  <dimension ref="A1"/>
  <sheetViews>
    <sheetView workbookViewId="0">
      <selection activeCell="D5" sqref="D5"/>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pCash</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2023-12-26T11:32:28Z</dcterms:modified>
</cp:coreProperties>
</file>